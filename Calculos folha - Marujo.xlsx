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OneDrive\Área de Trabalho\Folha de Pagamento\Excell - Folha pagamento\"/>
    </mc:Choice>
  </mc:AlternateContent>
  <bookViews>
    <workbookView xWindow="0" yWindow="0" windowWidth="20490" windowHeight="7650" activeTab="1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2" l="1"/>
  <c r="C44" i="2"/>
  <c r="M30" i="2"/>
  <c r="M29" i="2"/>
  <c r="C29" i="2"/>
  <c r="M28" i="2"/>
  <c r="C28" i="2"/>
  <c r="M27" i="2"/>
  <c r="C27" i="2"/>
  <c r="M26" i="2"/>
  <c r="C26" i="2"/>
  <c r="M25" i="2"/>
  <c r="C25" i="2"/>
  <c r="M24" i="2"/>
  <c r="C24" i="2"/>
  <c r="C23" i="2"/>
  <c r="J23" i="2" s="1"/>
  <c r="C22" i="2"/>
  <c r="M22" i="2" s="1"/>
  <c r="C21" i="2"/>
  <c r="M21" i="2" s="1"/>
  <c r="C20" i="2"/>
  <c r="M20" i="2" s="1"/>
  <c r="C19" i="2"/>
  <c r="M19" i="2" s="1"/>
  <c r="C18" i="2"/>
  <c r="M18" i="2" s="1"/>
  <c r="E12" i="2"/>
  <c r="J12" i="2" s="1"/>
  <c r="N12" i="2" s="1"/>
  <c r="B12" i="2"/>
  <c r="E11" i="2"/>
  <c r="J11" i="2" s="1"/>
  <c r="N11" i="2" s="1"/>
  <c r="C11" i="2"/>
  <c r="B11" i="2"/>
  <c r="E10" i="2"/>
  <c r="J10" i="2" s="1"/>
  <c r="N10" i="2" s="1"/>
  <c r="B10" i="2"/>
  <c r="J9" i="2"/>
  <c r="N9" i="2" s="1"/>
  <c r="E9" i="2"/>
  <c r="B9" i="2"/>
  <c r="J8" i="2"/>
  <c r="N8" i="2" s="1"/>
  <c r="B8" i="2"/>
  <c r="E7" i="2"/>
  <c r="J7" i="2" s="1"/>
  <c r="N7" i="2" s="1"/>
  <c r="B7" i="2"/>
  <c r="E6" i="2"/>
  <c r="M6" i="2" s="1"/>
  <c r="B6" i="2"/>
  <c r="J6" i="2" l="1"/>
  <c r="N6" i="2" s="1"/>
  <c r="N13" i="2" s="1"/>
  <c r="M23" i="2"/>
  <c r="M31" i="2" s="1"/>
  <c r="M45" i="2" s="1"/>
  <c r="C23" i="1" l="1"/>
  <c r="E18" i="1"/>
  <c r="J17" i="1"/>
  <c r="E4" i="1" s="1"/>
  <c r="D4" i="1"/>
  <c r="F4" i="1" s="1"/>
  <c r="G4" i="1" s="1"/>
  <c r="C4" i="1"/>
  <c r="D18" i="1" l="1"/>
  <c r="G18" i="1" s="1"/>
  <c r="D22" i="1"/>
  <c r="G22" i="1" s="1"/>
  <c r="D21" i="1"/>
  <c r="G21" i="1" s="1"/>
  <c r="D20" i="1"/>
  <c r="G20" i="1" s="1"/>
  <c r="D19" i="1"/>
  <c r="G19" i="1" s="1"/>
  <c r="D17" i="1"/>
  <c r="G17" i="1" s="1"/>
  <c r="D16" i="1"/>
  <c r="G16" i="1" s="1"/>
  <c r="D15" i="1"/>
  <c r="G15" i="1" s="1"/>
  <c r="D14" i="1"/>
  <c r="G14" i="1" s="1"/>
  <c r="D13" i="1"/>
  <c r="G13" i="1" s="1"/>
  <c r="D12" i="1"/>
  <c r="G12" i="1" s="1"/>
  <c r="D11" i="1"/>
  <c r="G11" i="1" s="1"/>
  <c r="D10" i="1"/>
  <c r="G10" i="1" s="1"/>
  <c r="D9" i="1"/>
  <c r="G9" i="1" s="1"/>
  <c r="D8" i="1"/>
  <c r="G8" i="1" s="1"/>
  <c r="G23" i="1" l="1"/>
</calcChain>
</file>

<file path=xl/sharedStrings.xml><?xml version="1.0" encoding="utf-8"?>
<sst xmlns="http://schemas.openxmlformats.org/spreadsheetml/2006/main" count="153" uniqueCount="128">
  <si>
    <t>Faturamento Abril 2026</t>
  </si>
  <si>
    <t>Valor de Serviço</t>
  </si>
  <si>
    <t>Descontos e Quebras</t>
  </si>
  <si>
    <t>Extras</t>
  </si>
  <si>
    <t>Total a dividir</t>
  </si>
  <si>
    <t>Valor do Ponto</t>
  </si>
  <si>
    <t>Rayssa</t>
  </si>
  <si>
    <t>Bruna</t>
  </si>
  <si>
    <t>Funcionarios</t>
  </si>
  <si>
    <t>Qtd Pontos</t>
  </si>
  <si>
    <t>Valor Ponto</t>
  </si>
  <si>
    <t>Participação</t>
  </si>
  <si>
    <t>Valor Pagar</t>
  </si>
  <si>
    <t>Lourdes</t>
  </si>
  <si>
    <t>Thamyres</t>
  </si>
  <si>
    <t>Almiro</t>
  </si>
  <si>
    <t>Juliana</t>
  </si>
  <si>
    <t xml:space="preserve">Andreza </t>
  </si>
  <si>
    <t>Luana</t>
  </si>
  <si>
    <t>Daniel</t>
  </si>
  <si>
    <t>Harysson</t>
  </si>
  <si>
    <t>Viviane</t>
  </si>
  <si>
    <t>Ines</t>
  </si>
  <si>
    <t>Jessica</t>
  </si>
  <si>
    <t>Férias</t>
  </si>
  <si>
    <t>Jucelino</t>
  </si>
  <si>
    <t>Gabriel</t>
  </si>
  <si>
    <t>1ª quinz</t>
  </si>
  <si>
    <t>Luiz Cozinheiro</t>
  </si>
  <si>
    <t>2ª quinz</t>
  </si>
  <si>
    <t>Maria Eduarda</t>
  </si>
  <si>
    <t>Rogério</t>
  </si>
  <si>
    <t>Ronnie</t>
  </si>
  <si>
    <t>Sara</t>
  </si>
  <si>
    <t>Thiago</t>
  </si>
  <si>
    <t>Zilda</t>
  </si>
  <si>
    <t>1ª Quinzena Maio 2026</t>
  </si>
  <si>
    <t xml:space="preserve">PROVENTOS </t>
  </si>
  <si>
    <t>DESCONTOS</t>
  </si>
  <si>
    <t>Colaborador</t>
  </si>
  <si>
    <t>Diária</t>
  </si>
  <si>
    <t>Remuneração</t>
  </si>
  <si>
    <t>Função</t>
  </si>
  <si>
    <t>Saldo Salário</t>
  </si>
  <si>
    <t>Cesta básica</t>
  </si>
  <si>
    <t>Domingos e Feriados e Outros</t>
  </si>
  <si>
    <t>Dias Dobrados   /  Extras</t>
  </si>
  <si>
    <t>Quebra de Caixa</t>
  </si>
  <si>
    <t>Total de Proventos</t>
  </si>
  <si>
    <t xml:space="preserve">Vales e Faltas </t>
  </si>
  <si>
    <t>Consumo Interno</t>
  </si>
  <si>
    <t>VT</t>
  </si>
  <si>
    <t>Total a receber  na quinzena</t>
  </si>
  <si>
    <t>Almiro Ferreira de Morais</t>
  </si>
  <si>
    <t>Aux.Pizzaria</t>
  </si>
  <si>
    <t>Gabriel Henrique de Souza (24/04/26)</t>
  </si>
  <si>
    <t>Caixa</t>
  </si>
  <si>
    <t xml:space="preserve">Isabelle Almeida Pedro </t>
  </si>
  <si>
    <t>Marketing</t>
  </si>
  <si>
    <t>Janice Reis</t>
  </si>
  <si>
    <t>Administrativo</t>
  </si>
  <si>
    <t>Luiz Rodrigo Monteiro Gonçalves (19/02/26)</t>
  </si>
  <si>
    <t>Cozinheiro</t>
  </si>
  <si>
    <t>Samir Matos Ralile</t>
  </si>
  <si>
    <t>Gerente</t>
  </si>
  <si>
    <t>Zilda Ap. dos Santos (inicio 27/10/25)</t>
  </si>
  <si>
    <t>Aux. Cozinha</t>
  </si>
  <si>
    <t>VALOR TOTAL FIXOS</t>
  </si>
  <si>
    <t xml:space="preserve">Extras </t>
  </si>
  <si>
    <t xml:space="preserve">Diarias </t>
  </si>
  <si>
    <t>Valor total</t>
  </si>
  <si>
    <t>Dobra</t>
  </si>
  <si>
    <t>Outros</t>
  </si>
  <si>
    <t>Taxas de Entregas</t>
  </si>
  <si>
    <t>10% caixa/Cesta basica</t>
  </si>
  <si>
    <t>Quantidade de diarias trabalhadas</t>
  </si>
  <si>
    <t>Vales e Outros</t>
  </si>
  <si>
    <t>Anabelle Volpe</t>
  </si>
  <si>
    <t>03 dias</t>
  </si>
  <si>
    <t>Bruna Giulia Costa Rscão</t>
  </si>
  <si>
    <t>00 dias</t>
  </si>
  <si>
    <t>Carol Georgia</t>
  </si>
  <si>
    <t>02 dias</t>
  </si>
  <si>
    <t>Daniel Rodrigues da Silva (02/05/26)</t>
  </si>
  <si>
    <t>Aux. Pizzaria</t>
  </si>
  <si>
    <t>08 dias</t>
  </si>
  <si>
    <t>Harysson Alves Cruz</t>
  </si>
  <si>
    <t>Garçom</t>
  </si>
  <si>
    <t>13 dias</t>
  </si>
  <si>
    <t>Isabelly Mariane Oliveira Santos</t>
  </si>
  <si>
    <t>14 dias</t>
  </si>
  <si>
    <t>Maria de Lourdes da Luz</t>
  </si>
  <si>
    <t>Aux. Limpeza</t>
  </si>
  <si>
    <t>Luana de Lima Silva</t>
  </si>
  <si>
    <t>Pizzaiolo</t>
  </si>
  <si>
    <t>Maria Eduarda Ap. Santos Silva</t>
  </si>
  <si>
    <t>Kids</t>
  </si>
  <si>
    <t>09 dias</t>
  </si>
  <si>
    <t>Priscilla Santos Souza (09/12/25)</t>
  </si>
  <si>
    <t>Hostless</t>
  </si>
  <si>
    <t>07 dias</t>
  </si>
  <si>
    <t>Sara Shiva</t>
  </si>
  <si>
    <t>Sebastião</t>
  </si>
  <si>
    <t>06 dias</t>
  </si>
  <si>
    <t>Thiago Rodrigues de Oliveira</t>
  </si>
  <si>
    <t>Matriê</t>
  </si>
  <si>
    <t>30 dias</t>
  </si>
  <si>
    <t>Funcionários Folha</t>
  </si>
  <si>
    <t>Salário</t>
  </si>
  <si>
    <t>Pagamento</t>
  </si>
  <si>
    <t>Cesta   12 do mês</t>
  </si>
  <si>
    <t>Andreza Cruz de Almeida (01/10/25)</t>
  </si>
  <si>
    <t>Garconete</t>
  </si>
  <si>
    <t>Georgia Caroline B. M. Moreira (13/05/25)</t>
  </si>
  <si>
    <t>Hermelinda Flavia Braga Golineli (18/04/26)</t>
  </si>
  <si>
    <t>Ines Pereria de Queiroz (12/02/26)</t>
  </si>
  <si>
    <t>Jéssica Lourenço dos Santos (03/09/24)</t>
  </si>
  <si>
    <t>Naahthsz Leehthz Hym Linares (05/03/26)</t>
  </si>
  <si>
    <t>Chefe Cozinha</t>
  </si>
  <si>
    <t>Priscila Santos de Souza (13/03/26)</t>
  </si>
  <si>
    <t>Aux. Escritorio</t>
  </si>
  <si>
    <t>Rogério Manoel de Jesus (01/07/24)</t>
  </si>
  <si>
    <t>Pizziolo</t>
  </si>
  <si>
    <t>Sara Shiva Santos de Barros (15/11/25)</t>
  </si>
  <si>
    <t>Compradora</t>
  </si>
  <si>
    <t>Thiago Rodrigues de Oliveira (04/02/25)</t>
  </si>
  <si>
    <t>Matrie</t>
  </si>
  <si>
    <t>VALOR TOTAL DA FOLHA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</si>
</sst>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8"/>
      <name val="Calibri"/>
      <family val="2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C2D69B"/>
      </patternFill>
    </fill>
    <fill>
      <patternFill patternType="solid">
        <fgColor rgb="FFFBD4B4"/>
        <bgColor rgb="FFFBD4B4"/>
      </patternFill>
    </fill>
    <fill>
      <patternFill patternType="solid">
        <fgColor theme="6" tint="0.39997558519241921"/>
        <bgColor rgb="FFFBD4B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theme="9" tint="0.39997558519241921"/>
        <bgColor rgb="FFC4BD97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5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2" fillId="3" borderId="1" xfId="1" applyFont="1" applyFill="1" applyBorder="1"/>
    <xf numFmtId="44" fontId="0" fillId="0" borderId="0" xfId="1" applyFont="1"/>
    <xf numFmtId="0" fontId="0" fillId="2" borderId="1" xfId="0" applyFill="1" applyBorder="1"/>
    <xf numFmtId="0" fontId="0" fillId="0" borderId="2" xfId="0" applyFill="1" applyBorder="1"/>
    <xf numFmtId="0" fontId="0" fillId="0" borderId="1" xfId="0" applyBorder="1"/>
    <xf numFmtId="44" fontId="0" fillId="0" borderId="1" xfId="0" applyNumberFormat="1" applyBorder="1"/>
    <xf numFmtId="44" fontId="0" fillId="0" borderId="1" xfId="1" applyFont="1" applyBorder="1"/>
    <xf numFmtId="0" fontId="0" fillId="0" borderId="0" xfId="0" applyAlignment="1">
      <alignment horizontal="left"/>
    </xf>
    <xf numFmtId="44" fontId="0" fillId="0" borderId="0" xfId="0" applyNumberFormat="1" applyAlignment="1">
      <alignment horizontal="left"/>
    </xf>
    <xf numFmtId="44" fontId="0" fillId="2" borderId="1" xfId="0" applyNumberFormat="1" applyFill="1" applyBorder="1"/>
    <xf numFmtId="0" fontId="4" fillId="0" borderId="0" xfId="0" applyFont="1" applyAlignment="1">
      <alignment horizontal="left"/>
    </xf>
    <xf numFmtId="0" fontId="5" fillId="0" borderId="0" xfId="0" applyFont="1"/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left"/>
    </xf>
    <xf numFmtId="0" fontId="6" fillId="4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left" wrapText="1"/>
    </xf>
    <xf numFmtId="0" fontId="6" fillId="6" borderId="8" xfId="0" applyFont="1" applyFill="1" applyBorder="1" applyAlignment="1">
      <alignment horizontal="left" wrapText="1"/>
    </xf>
    <xf numFmtId="0" fontId="6" fillId="5" borderId="8" xfId="0" applyFont="1" applyFill="1" applyBorder="1" applyAlignment="1">
      <alignment horizontal="left" wrapText="1"/>
    </xf>
    <xf numFmtId="0" fontId="6" fillId="5" borderId="9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horizontal="left" wrapText="1"/>
    </xf>
    <xf numFmtId="0" fontId="0" fillId="0" borderId="0" xfId="0" applyFill="1"/>
    <xf numFmtId="0" fontId="4" fillId="7" borderId="10" xfId="0" applyFont="1" applyFill="1" applyBorder="1"/>
    <xf numFmtId="164" fontId="4" fillId="0" borderId="11" xfId="0" applyNumberFormat="1" applyFont="1" applyBorder="1" applyAlignment="1">
      <alignment horizontal="left"/>
    </xf>
    <xf numFmtId="164" fontId="4" fillId="0" borderId="12" xfId="0" applyNumberFormat="1" applyFont="1" applyFill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left"/>
    </xf>
    <xf numFmtId="164" fontId="4" fillId="0" borderId="12" xfId="0" applyNumberFormat="1" applyFont="1" applyBorder="1" applyAlignment="1">
      <alignment horizontal="left" vertical="center"/>
    </xf>
    <xf numFmtId="164" fontId="4" fillId="0" borderId="12" xfId="0" applyNumberFormat="1" applyFont="1" applyBorder="1" applyAlignment="1">
      <alignment horizontal="left" wrapText="1"/>
    </xf>
    <xf numFmtId="164" fontId="4" fillId="6" borderId="8" xfId="1" applyNumberFormat="1" applyFont="1" applyFill="1" applyBorder="1" applyAlignment="1">
      <alignment horizontal="center"/>
    </xf>
    <xf numFmtId="0" fontId="0" fillId="0" borderId="0" xfId="0" applyFill="1" applyBorder="1"/>
    <xf numFmtId="0" fontId="4" fillId="4" borderId="10" xfId="0" applyFont="1" applyFill="1" applyBorder="1"/>
    <xf numFmtId="164" fontId="0" fillId="0" borderId="0" xfId="0" applyNumberFormat="1"/>
    <xf numFmtId="164" fontId="4" fillId="0" borderId="13" xfId="0" applyNumberFormat="1" applyFont="1" applyBorder="1" applyAlignment="1">
      <alignment horizontal="center"/>
    </xf>
    <xf numFmtId="0" fontId="7" fillId="0" borderId="0" xfId="0" applyFont="1" applyFill="1"/>
    <xf numFmtId="0" fontId="6" fillId="0" borderId="14" xfId="0" applyFont="1" applyBorder="1"/>
    <xf numFmtId="164" fontId="4" fillId="0" borderId="0" xfId="0" applyNumberFormat="1" applyFont="1" applyBorder="1" applyAlignment="1">
      <alignment horizontal="left"/>
    </xf>
    <xf numFmtId="0" fontId="6" fillId="8" borderId="15" xfId="0" applyFont="1" applyFill="1" applyBorder="1"/>
    <xf numFmtId="0" fontId="6" fillId="8" borderId="16" xfId="0" applyFont="1" applyFill="1" applyBorder="1"/>
    <xf numFmtId="164" fontId="6" fillId="6" borderId="12" xfId="1" applyNumberFormat="1" applyFont="1" applyFill="1" applyBorder="1" applyAlignment="1">
      <alignment horizontal="left"/>
    </xf>
    <xf numFmtId="0" fontId="4" fillId="0" borderId="0" xfId="0" applyFont="1"/>
    <xf numFmtId="164" fontId="4" fillId="0" borderId="0" xfId="0" applyNumberFormat="1" applyFont="1"/>
    <xf numFmtId="0" fontId="6" fillId="7" borderId="3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6" fillId="9" borderId="1" xfId="0" applyFont="1" applyFill="1" applyBorder="1"/>
    <xf numFmtId="0" fontId="8" fillId="7" borderId="22" xfId="0" applyFont="1" applyFill="1" applyBorder="1"/>
    <xf numFmtId="0" fontId="6" fillId="7" borderId="11" xfId="0" applyFont="1" applyFill="1" applyBorder="1" applyAlignment="1">
      <alignment horizontal="left"/>
    </xf>
    <xf numFmtId="0" fontId="6" fillId="7" borderId="12" xfId="0" applyFont="1" applyFill="1" applyBorder="1"/>
    <xf numFmtId="0" fontId="6" fillId="7" borderId="12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 wrapText="1"/>
    </xf>
    <xf numFmtId="0" fontId="9" fillId="7" borderId="12" xfId="0" applyFont="1" applyFill="1" applyBorder="1" applyAlignment="1">
      <alignment horizontal="center" wrapText="1"/>
    </xf>
    <xf numFmtId="0" fontId="9" fillId="7" borderId="11" xfId="0" applyFont="1" applyFill="1" applyBorder="1" applyAlignment="1">
      <alignment wrapText="1"/>
    </xf>
    <xf numFmtId="0" fontId="9" fillId="7" borderId="13" xfId="0" applyFont="1" applyFill="1" applyBorder="1" applyAlignment="1">
      <alignment wrapText="1"/>
    </xf>
    <xf numFmtId="0" fontId="9" fillId="5" borderId="12" xfId="0" applyFont="1" applyFill="1" applyBorder="1" applyAlignment="1">
      <alignment horizontal="center" wrapText="1"/>
    </xf>
    <xf numFmtId="0" fontId="9" fillId="5" borderId="12" xfId="0" applyFont="1" applyFill="1" applyBorder="1" applyAlignment="1">
      <alignment horizontal="left" wrapText="1"/>
    </xf>
    <xf numFmtId="0" fontId="9" fillId="10" borderId="8" xfId="0" applyFont="1" applyFill="1" applyBorder="1" applyAlignment="1">
      <alignment horizontal="left" wrapText="1"/>
    </xf>
    <xf numFmtId="164" fontId="4" fillId="0" borderId="13" xfId="0" applyNumberFormat="1" applyFont="1" applyBorder="1" applyAlignment="1">
      <alignment horizontal="left"/>
    </xf>
    <xf numFmtId="164" fontId="4" fillId="0" borderId="11" xfId="0" applyNumberFormat="1" applyFont="1" applyBorder="1" applyAlignment="1">
      <alignment horizontal="left" wrapText="1"/>
    </xf>
    <xf numFmtId="164" fontId="4" fillId="0" borderId="13" xfId="0" applyNumberFormat="1" applyFont="1" applyBorder="1" applyAlignment="1">
      <alignment wrapText="1"/>
    </xf>
    <xf numFmtId="164" fontId="4" fillId="10" borderId="23" xfId="1" applyNumberFormat="1" applyFont="1" applyFill="1" applyBorder="1" applyAlignment="1">
      <alignment horizontal="left"/>
    </xf>
    <xf numFmtId="0" fontId="0" fillId="0" borderId="0" xfId="0" applyFont="1" applyAlignment="1">
      <alignment horizontal="left"/>
    </xf>
    <xf numFmtId="164" fontId="4" fillId="0" borderId="0" xfId="0" applyNumberFormat="1" applyFont="1" applyFill="1" applyBorder="1" applyAlignment="1">
      <alignment horizontal="left"/>
    </xf>
    <xf numFmtId="164" fontId="4" fillId="0" borderId="0" xfId="0" applyNumberFormat="1" applyFont="1" applyAlignment="1">
      <alignment horizontal="left"/>
    </xf>
    <xf numFmtId="164" fontId="6" fillId="10" borderId="12" xfId="1" applyNumberFormat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6" fillId="7" borderId="13" xfId="0" applyFont="1" applyFill="1" applyBorder="1"/>
    <xf numFmtId="16" fontId="6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wrapText="1"/>
    </xf>
    <xf numFmtId="44" fontId="4" fillId="6" borderId="12" xfId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44" fontId="4" fillId="6" borderId="1" xfId="0" applyNumberFormat="1" applyFont="1" applyFill="1" applyBorder="1" applyAlignment="1">
      <alignment horizontal="center"/>
    </xf>
    <xf numFmtId="44" fontId="6" fillId="0" borderId="0" xfId="0" applyNumberFormat="1" applyFont="1" applyAlignment="1">
      <alignment horizontal="center"/>
    </xf>
    <xf numFmtId="44" fontId="6" fillId="0" borderId="0" xfId="1" applyFont="1" applyAlignment="1">
      <alignment horizontal="center"/>
    </xf>
    <xf numFmtId="44" fontId="4" fillId="6" borderId="23" xfId="1" applyFont="1" applyFill="1" applyBorder="1" applyAlignment="1">
      <alignment horizontal="center"/>
    </xf>
    <xf numFmtId="44" fontId="4" fillId="6" borderId="24" xfId="1" applyFont="1" applyFill="1" applyBorder="1" applyAlignment="1">
      <alignment horizontal="center"/>
    </xf>
    <xf numFmtId="44" fontId="6" fillId="6" borderId="1" xfId="0" applyNumberFormat="1" applyFont="1" applyFill="1" applyBorder="1" applyAlignment="1">
      <alignment horizontal="center"/>
    </xf>
    <xf numFmtId="0" fontId="6" fillId="0" borderId="0" xfId="0" applyFont="1"/>
    <xf numFmtId="0" fontId="6" fillId="11" borderId="15" xfId="0" applyFont="1" applyFill="1" applyBorder="1" applyAlignment="1">
      <alignment horizontal="center"/>
    </xf>
    <xf numFmtId="0" fontId="6" fillId="11" borderId="25" xfId="0" applyFont="1" applyFill="1" applyBorder="1" applyAlignment="1">
      <alignment horizontal="center"/>
    </xf>
    <xf numFmtId="0" fontId="6" fillId="11" borderId="25" xfId="0" applyFont="1" applyFill="1" applyBorder="1" applyAlignment="1">
      <alignment horizontal="center"/>
    </xf>
    <xf numFmtId="164" fontId="6" fillId="11" borderId="16" xfId="1" applyNumberFormat="1" applyFont="1" applyFill="1" applyBorder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0" xfId="0" applyFont="1" applyFill="1"/>
    <xf numFmtId="164" fontId="6" fillId="0" borderId="0" xfId="0" applyNumberFormat="1" applyFont="1" applyFill="1"/>
    <xf numFmtId="0" fontId="6" fillId="0" borderId="0" xfId="0" applyFont="1" applyFill="1" applyBorder="1" applyAlignment="1">
      <alignment horizontal="center"/>
    </xf>
    <xf numFmtId="164" fontId="6" fillId="0" borderId="0" xfId="1" applyNumberFormat="1" applyFont="1" applyFill="1" applyBorder="1" applyAlignment="1">
      <alignment horizontal="left"/>
    </xf>
    <xf numFmtId="164" fontId="6" fillId="0" borderId="0" xfId="0" applyNumberFormat="1" applyFont="1" applyFill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4"/>
  <sheetViews>
    <sheetView workbookViewId="0">
      <selection sqref="A1:XFD1048576"/>
    </sheetView>
  </sheetViews>
  <sheetFormatPr defaultRowHeight="15" x14ac:dyDescent="0.25"/>
  <cols>
    <col min="2" max="2" width="17.42578125" customWidth="1"/>
    <col min="3" max="3" width="15.42578125" bestFit="1" customWidth="1"/>
    <col min="4" max="4" width="12.140625" customWidth="1"/>
    <col min="5" max="6" width="13.28515625" bestFit="1" customWidth="1"/>
    <col min="7" max="7" width="14.7109375" bestFit="1" customWidth="1"/>
    <col min="8" max="8" width="12.140625" bestFit="1" customWidth="1"/>
    <col min="9" max="9" width="14.85546875" bestFit="1" customWidth="1"/>
    <col min="10" max="10" width="13.28515625" style="6" bestFit="1" customWidth="1"/>
    <col min="11" max="11" width="13.28515625" style="6" customWidth="1"/>
  </cols>
  <sheetData>
    <row r="3" spans="2:11" s="3" customFormat="1" ht="31.5" x14ac:dyDescent="0.25">
      <c r="B3" s="1" t="s">
        <v>0</v>
      </c>
      <c r="C3" s="1" t="s">
        <v>1</v>
      </c>
      <c r="D3" s="1" t="s">
        <v>2</v>
      </c>
      <c r="E3" s="2" t="s">
        <v>3</v>
      </c>
      <c r="F3" s="1" t="s">
        <v>4</v>
      </c>
      <c r="G3" s="1" t="s">
        <v>5</v>
      </c>
      <c r="J3" s="4"/>
      <c r="K3" s="4"/>
    </row>
    <row r="4" spans="2:11" x14ac:dyDescent="0.25">
      <c r="B4" s="5">
        <v>349440.8</v>
      </c>
      <c r="C4" s="5">
        <f>B4*10%</f>
        <v>34944.080000000002</v>
      </c>
      <c r="D4" s="5">
        <f>C4*2.5%</f>
        <v>873.60200000000009</v>
      </c>
      <c r="E4" s="5">
        <f>J17</f>
        <v>18168.55</v>
      </c>
      <c r="F4" s="5">
        <f>C4-D4-E4</f>
        <v>15901.928000000004</v>
      </c>
      <c r="G4" s="5">
        <f>F4/C23</f>
        <v>397.54820000000007</v>
      </c>
      <c r="I4" t="s">
        <v>6</v>
      </c>
      <c r="J4" s="6">
        <v>320</v>
      </c>
    </row>
    <row r="5" spans="2:11" x14ac:dyDescent="0.25">
      <c r="I5" t="s">
        <v>7</v>
      </c>
      <c r="J5" s="6">
        <v>200</v>
      </c>
    </row>
    <row r="6" spans="2:11" x14ac:dyDescent="0.25">
      <c r="B6" s="7" t="s">
        <v>8</v>
      </c>
      <c r="C6" s="7" t="s">
        <v>9</v>
      </c>
      <c r="D6" s="7" t="s">
        <v>10</v>
      </c>
      <c r="E6" s="7" t="s">
        <v>11</v>
      </c>
      <c r="F6" s="7"/>
      <c r="G6" s="7" t="s">
        <v>12</v>
      </c>
      <c r="I6" s="8" t="s">
        <v>13</v>
      </c>
      <c r="J6" s="6">
        <v>400</v>
      </c>
    </row>
    <row r="7" spans="2:11" x14ac:dyDescent="0.25">
      <c r="I7" t="s">
        <v>14</v>
      </c>
      <c r="J7" s="6">
        <v>402.2</v>
      </c>
    </row>
    <row r="8" spans="2:11" x14ac:dyDescent="0.25">
      <c r="B8" s="9" t="s">
        <v>15</v>
      </c>
      <c r="C8" s="9">
        <v>1</v>
      </c>
      <c r="D8" s="10">
        <f>G4</f>
        <v>397.54820000000007</v>
      </c>
      <c r="E8" s="11"/>
      <c r="F8" s="9"/>
      <c r="G8" s="10">
        <f t="shared" ref="G8:G17" si="0">C8*D8</f>
        <v>397.54820000000007</v>
      </c>
      <c r="H8" s="12"/>
      <c r="I8" t="s">
        <v>16</v>
      </c>
      <c r="J8" s="6">
        <v>160</v>
      </c>
    </row>
    <row r="9" spans="2:11" x14ac:dyDescent="0.25">
      <c r="B9" s="9" t="s">
        <v>17</v>
      </c>
      <c r="C9" s="9">
        <v>4</v>
      </c>
      <c r="D9" s="10">
        <f>G4</f>
        <v>397.54820000000007</v>
      </c>
      <c r="E9" s="11"/>
      <c r="F9" s="9"/>
      <c r="G9" s="10">
        <f t="shared" si="0"/>
        <v>1590.1928000000003</v>
      </c>
      <c r="H9" s="12"/>
      <c r="I9" t="s">
        <v>18</v>
      </c>
      <c r="J9" s="6">
        <v>170</v>
      </c>
    </row>
    <row r="10" spans="2:11" x14ac:dyDescent="0.25">
      <c r="B10" s="9" t="s">
        <v>7</v>
      </c>
      <c r="C10" s="9">
        <v>1</v>
      </c>
      <c r="D10" s="10">
        <f>G4</f>
        <v>397.54820000000007</v>
      </c>
      <c r="E10" s="11"/>
      <c r="F10" s="9"/>
      <c r="G10" s="10">
        <f t="shared" si="0"/>
        <v>397.54820000000007</v>
      </c>
      <c r="H10" s="12"/>
      <c r="I10" t="s">
        <v>19</v>
      </c>
      <c r="J10" s="6">
        <v>180</v>
      </c>
    </row>
    <row r="11" spans="2:11" x14ac:dyDescent="0.25">
      <c r="B11" s="9" t="s">
        <v>20</v>
      </c>
      <c r="C11" s="9">
        <v>3</v>
      </c>
      <c r="D11" s="10">
        <f>G4</f>
        <v>397.54820000000007</v>
      </c>
      <c r="E11" s="11"/>
      <c r="F11" s="9"/>
      <c r="G11" s="10">
        <f t="shared" si="0"/>
        <v>1192.6446000000001</v>
      </c>
      <c r="H11" s="12"/>
      <c r="I11" t="s">
        <v>14</v>
      </c>
      <c r="J11" s="6">
        <v>548.4</v>
      </c>
    </row>
    <row r="12" spans="2:11" x14ac:dyDescent="0.25">
      <c r="B12" s="9" t="s">
        <v>8</v>
      </c>
      <c r="C12" s="9">
        <v>6</v>
      </c>
      <c r="D12" s="10">
        <f>G4</f>
        <v>397.54820000000007</v>
      </c>
      <c r="E12" s="11"/>
      <c r="F12" s="9"/>
      <c r="G12" s="10">
        <f t="shared" si="0"/>
        <v>2385.2892000000002</v>
      </c>
      <c r="H12" s="12"/>
      <c r="I12" t="s">
        <v>21</v>
      </c>
      <c r="J12" s="6">
        <v>200</v>
      </c>
    </row>
    <row r="13" spans="2:11" x14ac:dyDescent="0.25">
      <c r="B13" s="9" t="s">
        <v>22</v>
      </c>
      <c r="C13" s="9">
        <v>4</v>
      </c>
      <c r="D13" s="10">
        <f>G4</f>
        <v>397.54820000000007</v>
      </c>
      <c r="E13" s="11"/>
      <c r="F13" s="9"/>
      <c r="G13" s="10">
        <f t="shared" si="0"/>
        <v>1590.1928000000003</v>
      </c>
      <c r="H13" s="12"/>
      <c r="I13" t="s">
        <v>14</v>
      </c>
      <c r="J13" s="6">
        <v>160.6</v>
      </c>
    </row>
    <row r="14" spans="2:11" x14ac:dyDescent="0.25">
      <c r="B14" s="9" t="s">
        <v>23</v>
      </c>
      <c r="C14" s="9">
        <v>0</v>
      </c>
      <c r="D14" s="10">
        <f>G4</f>
        <v>397.54820000000007</v>
      </c>
      <c r="E14" s="11" t="s">
        <v>24</v>
      </c>
      <c r="F14" s="9"/>
      <c r="G14" s="10">
        <f t="shared" si="0"/>
        <v>0</v>
      </c>
      <c r="H14" s="12"/>
      <c r="I14" t="s">
        <v>25</v>
      </c>
      <c r="J14" s="6">
        <v>2800</v>
      </c>
    </row>
    <row r="15" spans="2:11" x14ac:dyDescent="0.25">
      <c r="B15" s="9" t="s">
        <v>26</v>
      </c>
      <c r="C15" s="9">
        <v>1</v>
      </c>
      <c r="D15" s="10">
        <f>G4</f>
        <v>397.54820000000007</v>
      </c>
      <c r="E15" s="11"/>
      <c r="F15" s="9"/>
      <c r="G15" s="10">
        <f t="shared" si="0"/>
        <v>397.54820000000007</v>
      </c>
      <c r="H15" s="12"/>
      <c r="I15" t="s">
        <v>27</v>
      </c>
      <c r="J15" s="6">
        <v>5782.35</v>
      </c>
    </row>
    <row r="16" spans="2:11" x14ac:dyDescent="0.25">
      <c r="B16" s="9" t="s">
        <v>28</v>
      </c>
      <c r="C16" s="9">
        <v>6</v>
      </c>
      <c r="D16" s="10">
        <f>G4</f>
        <v>397.54820000000007</v>
      </c>
      <c r="E16" s="11"/>
      <c r="F16" s="9"/>
      <c r="G16" s="10">
        <f t="shared" si="0"/>
        <v>2385.2892000000002</v>
      </c>
      <c r="H16" s="12"/>
      <c r="I16" t="s">
        <v>29</v>
      </c>
      <c r="J16" s="6">
        <v>6845</v>
      </c>
    </row>
    <row r="17" spans="2:10" x14ac:dyDescent="0.25">
      <c r="B17" s="9" t="s">
        <v>30</v>
      </c>
      <c r="C17" s="9">
        <v>1</v>
      </c>
      <c r="D17" s="10">
        <f>G4</f>
        <v>397.54820000000007</v>
      </c>
      <c r="E17" s="11"/>
      <c r="F17" s="9"/>
      <c r="G17" s="10">
        <f t="shared" si="0"/>
        <v>397.54820000000007</v>
      </c>
      <c r="H17" s="12"/>
      <c r="J17" s="6">
        <f>SUM(J4:J16)</f>
        <v>18168.55</v>
      </c>
    </row>
    <row r="18" spans="2:10" x14ac:dyDescent="0.25">
      <c r="B18" s="9" t="s">
        <v>31</v>
      </c>
      <c r="C18" s="9">
        <v>3</v>
      </c>
      <c r="D18" s="10">
        <f>G4</f>
        <v>397.54820000000007</v>
      </c>
      <c r="E18" s="11">
        <f>740+82</f>
        <v>822</v>
      </c>
      <c r="F18" s="9"/>
      <c r="G18" s="10">
        <f>C18*D18+E18</f>
        <v>2014.6446000000001</v>
      </c>
      <c r="H18" s="12"/>
    </row>
    <row r="19" spans="2:10" x14ac:dyDescent="0.25">
      <c r="B19" s="9" t="s">
        <v>32</v>
      </c>
      <c r="C19" s="9">
        <v>1</v>
      </c>
      <c r="D19" s="10">
        <f>G4</f>
        <v>397.54820000000007</v>
      </c>
      <c r="E19" s="11"/>
      <c r="F19" s="9"/>
      <c r="G19" s="10">
        <f>C19*D19</f>
        <v>397.54820000000007</v>
      </c>
      <c r="H19" s="13"/>
    </row>
    <row r="20" spans="2:10" x14ac:dyDescent="0.25">
      <c r="B20" s="9" t="s">
        <v>33</v>
      </c>
      <c r="C20" s="9">
        <v>2</v>
      </c>
      <c r="D20" s="10">
        <f>G4</f>
        <v>397.54820000000007</v>
      </c>
      <c r="E20" s="11"/>
      <c r="F20" s="9"/>
      <c r="G20" s="10">
        <f>C20*D20</f>
        <v>795.09640000000013</v>
      </c>
      <c r="H20" s="12"/>
    </row>
    <row r="21" spans="2:10" x14ac:dyDescent="0.25">
      <c r="B21" s="9" t="s">
        <v>34</v>
      </c>
      <c r="C21" s="9">
        <v>6</v>
      </c>
      <c r="D21" s="10">
        <f>G4</f>
        <v>397.54820000000007</v>
      </c>
      <c r="E21" s="11"/>
      <c r="F21" s="9"/>
      <c r="G21" s="10">
        <f>C21*D21</f>
        <v>2385.2892000000002</v>
      </c>
      <c r="H21" s="12"/>
    </row>
    <row r="22" spans="2:10" x14ac:dyDescent="0.25">
      <c r="B22" s="9" t="s">
        <v>35</v>
      </c>
      <c r="C22" s="9">
        <v>1</v>
      </c>
      <c r="D22" s="10">
        <f>G4</f>
        <v>397.54820000000007</v>
      </c>
      <c r="E22" s="11"/>
      <c r="F22" s="9"/>
      <c r="G22" s="10">
        <f>C22*D22</f>
        <v>397.54820000000007</v>
      </c>
      <c r="H22" s="12"/>
    </row>
    <row r="23" spans="2:10" x14ac:dyDescent="0.25">
      <c r="C23" s="7">
        <f>SUM(C8:C22)</f>
        <v>40</v>
      </c>
      <c r="G23" s="14">
        <f>SUM(G8:G22)</f>
        <v>16723.928</v>
      </c>
      <c r="H23" s="12"/>
    </row>
    <row r="24" spans="2:10" x14ac:dyDescent="0.25">
      <c r="H24" s="1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tabSelected="1" topLeftCell="A40" workbookViewId="0">
      <selection activeCell="A48" sqref="A48:XFD216"/>
    </sheetView>
  </sheetViews>
  <sheetFormatPr defaultColWidth="12.5703125" defaultRowHeight="15" x14ac:dyDescent="0.25"/>
  <cols>
    <col min="1" max="1" width="39.85546875" customWidth="1"/>
    <col min="2" max="2" width="12.140625" bestFit="1" customWidth="1"/>
    <col min="3" max="3" width="13.42578125" customWidth="1"/>
    <col min="4" max="4" width="15" customWidth="1"/>
    <col min="5" max="5" width="12.85546875" customWidth="1"/>
    <col min="6" max="6" width="12.7109375" bestFit="1" customWidth="1"/>
    <col min="7" max="7" width="12.42578125" customWidth="1"/>
    <col min="8" max="8" width="13.28515625" bestFit="1" customWidth="1"/>
    <col min="9" max="9" width="11.7109375" bestFit="1" customWidth="1"/>
    <col min="10" max="10" width="12.140625" bestFit="1" customWidth="1"/>
    <col min="11" max="11" width="13.28515625" bestFit="1" customWidth="1"/>
    <col min="12" max="12" width="10" customWidth="1"/>
    <col min="13" max="13" width="12.140625" customWidth="1"/>
    <col min="14" max="14" width="12.5703125" customWidth="1"/>
    <col min="15" max="15" width="10.7109375" bestFit="1" customWidth="1"/>
    <col min="16" max="16" width="12" bestFit="1" customWidth="1"/>
    <col min="17" max="17" width="9.42578125" customWidth="1"/>
  </cols>
  <sheetData>
    <row r="1" spans="1:17" x14ac:dyDescent="0.25">
      <c r="B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</row>
    <row r="2" spans="1:17" ht="13.5" customHeight="1" x14ac:dyDescent="0.25">
      <c r="B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/>
    </row>
    <row r="3" spans="1:17" ht="19.5" customHeight="1" x14ac:dyDescent="0.25">
      <c r="A3" s="17" t="s">
        <v>36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</row>
    <row r="4" spans="1:17" x14ac:dyDescent="0.25">
      <c r="A4" s="17" t="s">
        <v>37</v>
      </c>
      <c r="B4" s="18"/>
      <c r="C4" s="18"/>
      <c r="D4" s="18"/>
      <c r="E4" s="18"/>
      <c r="F4" s="18"/>
      <c r="G4" s="18"/>
      <c r="H4" s="18"/>
      <c r="I4" s="18"/>
      <c r="J4" s="19"/>
      <c r="K4" s="20" t="s">
        <v>38</v>
      </c>
      <c r="L4" s="21"/>
      <c r="M4" s="22"/>
      <c r="N4" s="23"/>
    </row>
    <row r="5" spans="1:17" ht="53.25" customHeight="1" x14ac:dyDescent="0.25">
      <c r="A5" s="24" t="s">
        <v>39</v>
      </c>
      <c r="B5" s="25" t="s">
        <v>40</v>
      </c>
      <c r="C5" s="26" t="s">
        <v>41</v>
      </c>
      <c r="D5" s="26" t="s">
        <v>42</v>
      </c>
      <c r="E5" s="27" t="s">
        <v>43</v>
      </c>
      <c r="F5" s="27" t="s">
        <v>44</v>
      </c>
      <c r="G5" s="27" t="s">
        <v>45</v>
      </c>
      <c r="H5" s="27" t="s">
        <v>46</v>
      </c>
      <c r="I5" s="27" t="s">
        <v>47</v>
      </c>
      <c r="J5" s="28" t="s">
        <v>48</v>
      </c>
      <c r="K5" s="29" t="s">
        <v>49</v>
      </c>
      <c r="L5" s="29" t="s">
        <v>50</v>
      </c>
      <c r="M5" s="30" t="s">
        <v>51</v>
      </c>
      <c r="N5" s="31" t="s">
        <v>52</v>
      </c>
      <c r="O5" s="32"/>
    </row>
    <row r="6" spans="1:17" ht="18" customHeight="1" x14ac:dyDescent="0.25">
      <c r="A6" s="33" t="s">
        <v>53</v>
      </c>
      <c r="B6" s="34">
        <f t="shared" ref="B6:B12" si="0">C6/30</f>
        <v>67.833333333333329</v>
      </c>
      <c r="C6" s="35">
        <v>2035</v>
      </c>
      <c r="D6" s="36" t="s">
        <v>54</v>
      </c>
      <c r="E6" s="37">
        <f>C6*40%</f>
        <v>814</v>
      </c>
      <c r="F6" s="37">
        <v>0</v>
      </c>
      <c r="G6" s="38">
        <v>0</v>
      </c>
      <c r="H6" s="39">
        <v>0</v>
      </c>
      <c r="I6" s="39">
        <v>0</v>
      </c>
      <c r="J6" s="38">
        <f t="shared" ref="J6:J12" si="1">E6+F6+G6+H6+I6</f>
        <v>814</v>
      </c>
      <c r="K6" s="39">
        <v>50</v>
      </c>
      <c r="L6" s="39">
        <v>0</v>
      </c>
      <c r="M6" s="39">
        <f>E6*6%</f>
        <v>48.839999999999996</v>
      </c>
      <c r="N6" s="40">
        <f>J6-K6-L6-M6</f>
        <v>715.16</v>
      </c>
      <c r="O6" s="32"/>
    </row>
    <row r="7" spans="1:17" ht="18" customHeight="1" x14ac:dyDescent="0.25">
      <c r="A7" s="33" t="s">
        <v>55</v>
      </c>
      <c r="B7" s="34">
        <f t="shared" si="0"/>
        <v>67.833333333333329</v>
      </c>
      <c r="C7" s="35">
        <v>2035</v>
      </c>
      <c r="D7" s="36" t="s">
        <v>56</v>
      </c>
      <c r="E7" s="37">
        <f t="shared" ref="E7:E12" si="2">C7*40%</f>
        <v>814</v>
      </c>
      <c r="F7" s="37">
        <v>0</v>
      </c>
      <c r="G7" s="38">
        <v>0</v>
      </c>
      <c r="H7" s="39">
        <v>0</v>
      </c>
      <c r="I7" s="39">
        <v>0</v>
      </c>
      <c r="J7" s="38">
        <f t="shared" si="1"/>
        <v>814</v>
      </c>
      <c r="K7" s="39">
        <v>0</v>
      </c>
      <c r="L7" s="39">
        <v>7.9</v>
      </c>
      <c r="M7" s="39">
        <v>0</v>
      </c>
      <c r="N7" s="40">
        <f>J7-K7-L7-M7</f>
        <v>806.1</v>
      </c>
      <c r="O7" s="32"/>
    </row>
    <row r="8" spans="1:17" ht="18" customHeight="1" x14ac:dyDescent="0.25">
      <c r="A8" s="33" t="s">
        <v>57</v>
      </c>
      <c r="B8" s="34">
        <f t="shared" si="0"/>
        <v>30</v>
      </c>
      <c r="C8" s="35">
        <v>900</v>
      </c>
      <c r="D8" s="36" t="s">
        <v>58</v>
      </c>
      <c r="E8" s="37">
        <v>900</v>
      </c>
      <c r="F8" s="37">
        <v>0</v>
      </c>
      <c r="G8" s="38">
        <v>0</v>
      </c>
      <c r="H8" s="39">
        <v>0</v>
      </c>
      <c r="I8" s="39">
        <v>0</v>
      </c>
      <c r="J8" s="38">
        <f t="shared" si="1"/>
        <v>900</v>
      </c>
      <c r="K8" s="39">
        <v>0</v>
      </c>
      <c r="L8" s="39">
        <v>0</v>
      </c>
      <c r="M8" s="39">
        <v>0</v>
      </c>
      <c r="N8" s="40">
        <f t="shared" ref="N8:N12" si="3">J8-K8-L8-M8</f>
        <v>900</v>
      </c>
      <c r="O8" s="41"/>
    </row>
    <row r="9" spans="1:17" ht="18" customHeight="1" x14ac:dyDescent="0.25">
      <c r="A9" s="42" t="s">
        <v>59</v>
      </c>
      <c r="B9" s="34">
        <f t="shared" si="0"/>
        <v>89.266666666666666</v>
      </c>
      <c r="C9" s="35">
        <v>2678</v>
      </c>
      <c r="D9" s="36" t="s">
        <v>60</v>
      </c>
      <c r="E9" s="37">
        <f t="shared" si="2"/>
        <v>1071.2</v>
      </c>
      <c r="F9" s="37">
        <v>0</v>
      </c>
      <c r="G9" s="38">
        <v>0</v>
      </c>
      <c r="H9" s="39">
        <v>0</v>
      </c>
      <c r="I9" s="39">
        <v>0</v>
      </c>
      <c r="J9" s="38">
        <f t="shared" si="1"/>
        <v>1071.2</v>
      </c>
      <c r="K9" s="39">
        <v>0</v>
      </c>
      <c r="L9" s="39">
        <v>0</v>
      </c>
      <c r="M9" s="39">
        <v>0</v>
      </c>
      <c r="N9" s="40">
        <f t="shared" si="3"/>
        <v>1071.2</v>
      </c>
      <c r="O9" s="41"/>
      <c r="P9" s="43"/>
    </row>
    <row r="10" spans="1:17" ht="18" customHeight="1" x14ac:dyDescent="0.25">
      <c r="A10" s="42" t="s">
        <v>61</v>
      </c>
      <c r="B10" s="34">
        <f>C10/30</f>
        <v>90</v>
      </c>
      <c r="C10" s="35">
        <v>2700</v>
      </c>
      <c r="D10" s="44" t="s">
        <v>62</v>
      </c>
      <c r="E10" s="37">
        <f t="shared" si="2"/>
        <v>1080</v>
      </c>
      <c r="F10" s="37">
        <v>0</v>
      </c>
      <c r="G10" s="38">
        <v>0</v>
      </c>
      <c r="H10" s="39">
        <v>0</v>
      </c>
      <c r="I10" s="39">
        <v>0</v>
      </c>
      <c r="J10" s="38">
        <f>E10+F10+G10+H10+I10</f>
        <v>1080</v>
      </c>
      <c r="K10" s="39">
        <v>0</v>
      </c>
      <c r="L10" s="39">
        <v>0</v>
      </c>
      <c r="M10" s="39">
        <v>0</v>
      </c>
      <c r="N10" s="40">
        <f>J10-K10-L10-M10</f>
        <v>1080</v>
      </c>
      <c r="O10" s="45"/>
      <c r="P10" s="43"/>
    </row>
    <row r="11" spans="1:17" ht="18" customHeight="1" x14ac:dyDescent="0.25">
      <c r="A11" s="42" t="s">
        <v>63</v>
      </c>
      <c r="B11" s="34">
        <f t="shared" si="0"/>
        <v>111.83</v>
      </c>
      <c r="C11" s="35">
        <f>3180*5.5%+3180</f>
        <v>3354.9</v>
      </c>
      <c r="D11" s="44" t="s">
        <v>64</v>
      </c>
      <c r="E11" s="37">
        <f t="shared" si="2"/>
        <v>1341.96</v>
      </c>
      <c r="F11" s="37">
        <v>0</v>
      </c>
      <c r="G11" s="38">
        <v>0</v>
      </c>
      <c r="H11" s="39">
        <v>0</v>
      </c>
      <c r="I11" s="39">
        <v>0</v>
      </c>
      <c r="J11" s="38">
        <f t="shared" si="1"/>
        <v>1341.96</v>
      </c>
      <c r="K11" s="39">
        <v>0</v>
      </c>
      <c r="L11" s="39">
        <v>0</v>
      </c>
      <c r="M11" s="39">
        <v>0</v>
      </c>
      <c r="N11" s="40">
        <f>J11-K11-L11-M11</f>
        <v>1341.96</v>
      </c>
      <c r="O11" s="32"/>
      <c r="P11" s="43"/>
    </row>
    <row r="12" spans="1:17" ht="18" customHeight="1" x14ac:dyDescent="0.25">
      <c r="A12" s="42" t="s">
        <v>65</v>
      </c>
      <c r="B12" s="34">
        <f t="shared" si="0"/>
        <v>67.833333333333329</v>
      </c>
      <c r="C12" s="35">
        <v>2035</v>
      </c>
      <c r="D12" s="44" t="s">
        <v>66</v>
      </c>
      <c r="E12" s="37">
        <f t="shared" si="2"/>
        <v>814</v>
      </c>
      <c r="F12" s="37">
        <v>0</v>
      </c>
      <c r="G12" s="38">
        <v>0</v>
      </c>
      <c r="H12" s="39">
        <v>0</v>
      </c>
      <c r="I12" s="39">
        <v>0</v>
      </c>
      <c r="J12" s="38">
        <f t="shared" si="1"/>
        <v>814</v>
      </c>
      <c r="K12" s="39">
        <v>0</v>
      </c>
      <c r="L12" s="39">
        <v>0</v>
      </c>
      <c r="M12" s="39">
        <v>0</v>
      </c>
      <c r="N12" s="40">
        <f t="shared" si="3"/>
        <v>814</v>
      </c>
      <c r="O12" s="32"/>
      <c r="P12" s="43"/>
    </row>
    <row r="13" spans="1:17" ht="18" customHeight="1" x14ac:dyDescent="0.25">
      <c r="B13" s="15"/>
      <c r="C13" s="46"/>
      <c r="D13" s="46"/>
      <c r="E13" s="47"/>
      <c r="F13" s="46"/>
      <c r="G13" s="46"/>
      <c r="H13" s="46"/>
      <c r="I13" s="46"/>
      <c r="J13" s="46"/>
      <c r="K13" s="46"/>
      <c r="L13" s="48" t="s">
        <v>67</v>
      </c>
      <c r="M13" s="49"/>
      <c r="N13" s="50">
        <f>SUM(N6:N12)</f>
        <v>6728.42</v>
      </c>
      <c r="P13" s="43"/>
    </row>
    <row r="14" spans="1:17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2"/>
      <c r="M14" s="51"/>
      <c r="N14" s="51"/>
      <c r="O14" s="16"/>
      <c r="P14" s="52"/>
      <c r="Q14" s="51"/>
    </row>
    <row r="15" spans="1:17" ht="19.5" customHeight="1" x14ac:dyDescent="0.25">
      <c r="A15" s="53" t="s">
        <v>36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5"/>
      <c r="N15" s="51"/>
      <c r="P15" s="43"/>
    </row>
    <row r="16" spans="1:17" x14ac:dyDescent="0.25">
      <c r="A16" s="56" t="s">
        <v>37</v>
      </c>
      <c r="B16" s="57"/>
      <c r="C16" s="57"/>
      <c r="D16" s="57"/>
      <c r="E16" s="57"/>
      <c r="F16" s="57"/>
      <c r="G16" s="57"/>
      <c r="H16" s="57"/>
      <c r="I16" s="58"/>
      <c r="J16" s="59" t="s">
        <v>38</v>
      </c>
      <c r="K16" s="60"/>
      <c r="L16" s="61"/>
      <c r="M16" s="62"/>
    </row>
    <row r="17" spans="1:16" ht="44.25" customHeight="1" x14ac:dyDescent="0.35">
      <c r="A17" s="63" t="s">
        <v>68</v>
      </c>
      <c r="B17" s="64" t="s">
        <v>69</v>
      </c>
      <c r="C17" s="65" t="s">
        <v>70</v>
      </c>
      <c r="D17" s="65" t="s">
        <v>42</v>
      </c>
      <c r="E17" s="66" t="s">
        <v>71</v>
      </c>
      <c r="F17" s="67" t="s">
        <v>72</v>
      </c>
      <c r="G17" s="68" t="s">
        <v>73</v>
      </c>
      <c r="H17" s="69" t="s">
        <v>74</v>
      </c>
      <c r="I17" s="70" t="s">
        <v>75</v>
      </c>
      <c r="J17" s="71" t="s">
        <v>51</v>
      </c>
      <c r="K17" s="71" t="s">
        <v>50</v>
      </c>
      <c r="L17" s="72" t="s">
        <v>76</v>
      </c>
      <c r="M17" s="73" t="s">
        <v>52</v>
      </c>
    </row>
    <row r="18" spans="1:16" ht="18" customHeight="1" x14ac:dyDescent="0.25">
      <c r="A18" s="33" t="s">
        <v>77</v>
      </c>
      <c r="B18" s="34">
        <v>80</v>
      </c>
      <c r="C18" s="35">
        <f>B18*3</f>
        <v>240</v>
      </c>
      <c r="D18" s="36" t="s">
        <v>66</v>
      </c>
      <c r="E18" s="74">
        <v>50</v>
      </c>
      <c r="F18" s="37">
        <v>0</v>
      </c>
      <c r="G18" s="39">
        <v>0</v>
      </c>
      <c r="H18" s="75">
        <v>0</v>
      </c>
      <c r="I18" s="76" t="s">
        <v>78</v>
      </c>
      <c r="J18" s="37">
        <v>0</v>
      </c>
      <c r="K18" s="74">
        <v>0</v>
      </c>
      <c r="L18" s="74">
        <v>0</v>
      </c>
      <c r="M18" s="77">
        <f>C18+E18+F18+G18+H18-J18-K18-L18</f>
        <v>290</v>
      </c>
      <c r="N18" s="78"/>
      <c r="O18" s="43"/>
      <c r="P18" s="43"/>
    </row>
    <row r="19" spans="1:16" ht="18" customHeight="1" x14ac:dyDescent="0.25">
      <c r="A19" s="33" t="s">
        <v>79</v>
      </c>
      <c r="B19" s="34">
        <v>100</v>
      </c>
      <c r="C19" s="35">
        <f>B19*0</f>
        <v>0</v>
      </c>
      <c r="D19" s="36" t="s">
        <v>56</v>
      </c>
      <c r="E19" s="74">
        <v>50</v>
      </c>
      <c r="F19" s="37">
        <v>0</v>
      </c>
      <c r="G19" s="39">
        <v>0</v>
      </c>
      <c r="H19" s="75">
        <v>0</v>
      </c>
      <c r="I19" s="76" t="s">
        <v>80</v>
      </c>
      <c r="J19" s="37">
        <v>0</v>
      </c>
      <c r="K19" s="74">
        <v>0</v>
      </c>
      <c r="L19" s="74">
        <v>0</v>
      </c>
      <c r="M19" s="77">
        <f>C19+E19+F19+G19+H19-J19-K19-L19</f>
        <v>50</v>
      </c>
      <c r="N19" s="78"/>
      <c r="O19" s="43"/>
      <c r="P19" s="43"/>
    </row>
    <row r="20" spans="1:16" ht="18" customHeight="1" x14ac:dyDescent="0.25">
      <c r="A20" s="33" t="s">
        <v>81</v>
      </c>
      <c r="B20" s="34">
        <v>70</v>
      </c>
      <c r="C20" s="35">
        <f>B20*2</f>
        <v>140</v>
      </c>
      <c r="D20" s="36" t="s">
        <v>66</v>
      </c>
      <c r="E20" s="74">
        <v>0</v>
      </c>
      <c r="F20" s="37">
        <v>0</v>
      </c>
      <c r="G20" s="39">
        <v>0</v>
      </c>
      <c r="H20" s="75">
        <v>0</v>
      </c>
      <c r="I20" s="76" t="s">
        <v>82</v>
      </c>
      <c r="J20" s="37">
        <v>0</v>
      </c>
      <c r="K20" s="74">
        <v>0</v>
      </c>
      <c r="L20" s="74">
        <v>0</v>
      </c>
      <c r="M20" s="77">
        <f t="shared" ref="M20:M30" si="4">C20+E20+F20+G20+H20-J20-K20-L20</f>
        <v>140</v>
      </c>
      <c r="N20" s="78"/>
      <c r="O20" s="43"/>
      <c r="P20" s="43"/>
    </row>
    <row r="21" spans="1:16" ht="18" customHeight="1" x14ac:dyDescent="0.25">
      <c r="A21" s="33" t="s">
        <v>83</v>
      </c>
      <c r="B21" s="34">
        <v>80</v>
      </c>
      <c r="C21" s="35">
        <f>B21*8</f>
        <v>640</v>
      </c>
      <c r="D21" s="36" t="s">
        <v>84</v>
      </c>
      <c r="E21" s="74">
        <v>0</v>
      </c>
      <c r="F21" s="37">
        <v>0</v>
      </c>
      <c r="G21" s="39">
        <v>0</v>
      </c>
      <c r="H21" s="75">
        <v>0</v>
      </c>
      <c r="I21" s="76" t="s">
        <v>85</v>
      </c>
      <c r="J21" s="37">
        <v>0</v>
      </c>
      <c r="K21" s="74">
        <v>0</v>
      </c>
      <c r="L21" s="74">
        <v>0</v>
      </c>
      <c r="M21" s="77">
        <f t="shared" si="4"/>
        <v>640</v>
      </c>
      <c r="N21" s="78"/>
      <c r="O21" s="43"/>
      <c r="P21" s="43"/>
    </row>
    <row r="22" spans="1:16" ht="18" customHeight="1" x14ac:dyDescent="0.25">
      <c r="A22" s="33" t="s">
        <v>86</v>
      </c>
      <c r="B22" s="34">
        <v>90</v>
      </c>
      <c r="C22" s="35">
        <f>B22*13</f>
        <v>1170</v>
      </c>
      <c r="D22" s="36" t="s">
        <v>87</v>
      </c>
      <c r="E22" s="74">
        <v>0</v>
      </c>
      <c r="F22" s="37">
        <v>0</v>
      </c>
      <c r="G22" s="39">
        <v>0</v>
      </c>
      <c r="H22" s="75">
        <v>0</v>
      </c>
      <c r="I22" s="76" t="s">
        <v>88</v>
      </c>
      <c r="J22" s="37">
        <v>0</v>
      </c>
      <c r="K22" s="74">
        <v>177.09</v>
      </c>
      <c r="L22" s="74">
        <v>0</v>
      </c>
      <c r="M22" s="77">
        <f t="shared" si="4"/>
        <v>992.91</v>
      </c>
      <c r="N22" s="43"/>
      <c r="O22" s="79"/>
    </row>
    <row r="23" spans="1:16" ht="18" customHeight="1" x14ac:dyDescent="0.25">
      <c r="A23" s="33" t="s">
        <v>89</v>
      </c>
      <c r="B23" s="34">
        <v>80</v>
      </c>
      <c r="C23" s="35">
        <f>B23*14</f>
        <v>1120</v>
      </c>
      <c r="D23" s="36" t="s">
        <v>66</v>
      </c>
      <c r="E23" s="74">
        <v>0</v>
      </c>
      <c r="F23" s="37">
        <v>0</v>
      </c>
      <c r="G23" s="39">
        <v>0</v>
      </c>
      <c r="H23" s="75">
        <v>0</v>
      </c>
      <c r="I23" s="76" t="s">
        <v>90</v>
      </c>
      <c r="J23" s="37">
        <f>C23*6%</f>
        <v>67.2</v>
      </c>
      <c r="K23" s="74">
        <v>0</v>
      </c>
      <c r="L23" s="74">
        <v>0</v>
      </c>
      <c r="M23" s="77">
        <f t="shared" si="4"/>
        <v>1052.8</v>
      </c>
      <c r="N23" s="43"/>
      <c r="O23" s="79"/>
    </row>
    <row r="24" spans="1:16" ht="18" customHeight="1" x14ac:dyDescent="0.25">
      <c r="A24" s="33" t="s">
        <v>91</v>
      </c>
      <c r="B24" s="34">
        <v>80</v>
      </c>
      <c r="C24" s="35">
        <f>B24*13</f>
        <v>1040</v>
      </c>
      <c r="D24" s="36" t="s">
        <v>92</v>
      </c>
      <c r="E24" s="74">
        <v>0</v>
      </c>
      <c r="F24" s="37">
        <v>0</v>
      </c>
      <c r="G24" s="39">
        <v>0</v>
      </c>
      <c r="H24" s="75">
        <v>0</v>
      </c>
      <c r="I24" s="76" t="s">
        <v>88</v>
      </c>
      <c r="J24" s="37">
        <v>0</v>
      </c>
      <c r="K24" s="74">
        <v>0</v>
      </c>
      <c r="L24" s="74">
        <v>0</v>
      </c>
      <c r="M24" s="77">
        <f t="shared" si="4"/>
        <v>1040</v>
      </c>
      <c r="N24" s="78"/>
      <c r="O24" s="79"/>
    </row>
    <row r="25" spans="1:16" ht="18" customHeight="1" x14ac:dyDescent="0.25">
      <c r="A25" s="33" t="s">
        <v>93</v>
      </c>
      <c r="B25" s="34">
        <v>100</v>
      </c>
      <c r="C25" s="35">
        <f>B25*0</f>
        <v>0</v>
      </c>
      <c r="D25" s="36" t="s">
        <v>94</v>
      </c>
      <c r="E25" s="74">
        <v>0</v>
      </c>
      <c r="F25" s="37">
        <v>0</v>
      </c>
      <c r="G25" s="39">
        <v>0</v>
      </c>
      <c r="H25" s="75">
        <v>0</v>
      </c>
      <c r="I25" s="76" t="s">
        <v>80</v>
      </c>
      <c r="J25" s="37">
        <v>0</v>
      </c>
      <c r="K25" s="74">
        <v>0</v>
      </c>
      <c r="L25" s="74">
        <v>0</v>
      </c>
      <c r="M25" s="77">
        <f t="shared" si="4"/>
        <v>0</v>
      </c>
      <c r="N25" s="78"/>
      <c r="O25" s="79"/>
    </row>
    <row r="26" spans="1:16" ht="18" customHeight="1" x14ac:dyDescent="0.25">
      <c r="A26" s="33" t="s">
        <v>95</v>
      </c>
      <c r="B26" s="34">
        <v>80</v>
      </c>
      <c r="C26" s="35">
        <f>B26*9</f>
        <v>720</v>
      </c>
      <c r="D26" s="36" t="s">
        <v>96</v>
      </c>
      <c r="E26" s="74">
        <v>0</v>
      </c>
      <c r="F26" s="37">
        <v>0</v>
      </c>
      <c r="G26" s="39">
        <v>0</v>
      </c>
      <c r="H26" s="75">
        <v>0</v>
      </c>
      <c r="I26" s="76" t="s">
        <v>97</v>
      </c>
      <c r="J26" s="37">
        <v>0</v>
      </c>
      <c r="K26" s="74">
        <v>0</v>
      </c>
      <c r="L26" s="74">
        <v>0</v>
      </c>
      <c r="M26" s="77">
        <f t="shared" si="4"/>
        <v>720</v>
      </c>
      <c r="N26" s="78"/>
      <c r="O26" s="43"/>
    </row>
    <row r="27" spans="1:16" ht="18" customHeight="1" x14ac:dyDescent="0.25">
      <c r="A27" s="33" t="s">
        <v>98</v>
      </c>
      <c r="B27" s="34">
        <v>80</v>
      </c>
      <c r="C27" s="35">
        <f>B27*7</f>
        <v>560</v>
      </c>
      <c r="D27" s="36" t="s">
        <v>99</v>
      </c>
      <c r="E27" s="74">
        <v>0</v>
      </c>
      <c r="F27" s="37">
        <v>0</v>
      </c>
      <c r="G27" s="39">
        <v>0</v>
      </c>
      <c r="H27" s="75">
        <v>0</v>
      </c>
      <c r="I27" s="76" t="s">
        <v>100</v>
      </c>
      <c r="J27" s="37">
        <v>0</v>
      </c>
      <c r="K27" s="74">
        <v>0</v>
      </c>
      <c r="L27" s="74">
        <v>0</v>
      </c>
      <c r="M27" s="77">
        <f t="shared" si="4"/>
        <v>560</v>
      </c>
      <c r="N27" s="78"/>
      <c r="O27" s="43"/>
    </row>
    <row r="28" spans="1:16" ht="18" customHeight="1" x14ac:dyDescent="0.25">
      <c r="A28" s="33" t="s">
        <v>101</v>
      </c>
      <c r="B28" s="34">
        <v>100</v>
      </c>
      <c r="C28" s="35">
        <f>B28*2</f>
        <v>200</v>
      </c>
      <c r="D28" s="36" t="s">
        <v>60</v>
      </c>
      <c r="E28" s="74">
        <v>0</v>
      </c>
      <c r="F28" s="37">
        <v>0</v>
      </c>
      <c r="G28" s="39">
        <v>0</v>
      </c>
      <c r="H28" s="75">
        <v>0</v>
      </c>
      <c r="I28" s="76" t="s">
        <v>82</v>
      </c>
      <c r="J28" s="37">
        <v>0</v>
      </c>
      <c r="K28" s="74">
        <v>0</v>
      </c>
      <c r="L28" s="74">
        <v>0</v>
      </c>
      <c r="M28" s="77">
        <f>C28+E28+F28+G28+H28-J28-K28-L28</f>
        <v>200</v>
      </c>
      <c r="N28" s="78"/>
      <c r="O28" s="43"/>
    </row>
    <row r="29" spans="1:16" ht="18" customHeight="1" x14ac:dyDescent="0.25">
      <c r="A29" s="33" t="s">
        <v>102</v>
      </c>
      <c r="B29" s="34">
        <v>80</v>
      </c>
      <c r="C29" s="35">
        <f>B29*6</f>
        <v>480</v>
      </c>
      <c r="D29" s="36" t="s">
        <v>66</v>
      </c>
      <c r="E29" s="74">
        <v>0</v>
      </c>
      <c r="F29" s="37">
        <v>0</v>
      </c>
      <c r="G29" s="39">
        <v>0</v>
      </c>
      <c r="H29" s="75">
        <v>0</v>
      </c>
      <c r="I29" s="76" t="s">
        <v>103</v>
      </c>
      <c r="J29" s="37">
        <v>0</v>
      </c>
      <c r="K29" s="74">
        <v>0</v>
      </c>
      <c r="L29" s="74">
        <v>0</v>
      </c>
      <c r="M29" s="77">
        <f>C29+E29+F29+G29+H29-J29-K29-L29</f>
        <v>480</v>
      </c>
      <c r="N29" s="78"/>
      <c r="O29" s="43"/>
    </row>
    <row r="30" spans="1:16" ht="18" customHeight="1" x14ac:dyDescent="0.25">
      <c r="A30" s="33" t="s">
        <v>104</v>
      </c>
      <c r="B30" s="34">
        <v>100</v>
      </c>
      <c r="C30" s="35">
        <v>0</v>
      </c>
      <c r="D30" s="36" t="s">
        <v>105</v>
      </c>
      <c r="E30" s="74">
        <v>0</v>
      </c>
      <c r="F30" s="37">
        <v>0</v>
      </c>
      <c r="G30" s="39">
        <v>0</v>
      </c>
      <c r="H30" s="75">
        <v>0</v>
      </c>
      <c r="I30" s="76" t="s">
        <v>106</v>
      </c>
      <c r="J30" s="37">
        <v>0</v>
      </c>
      <c r="K30" s="74">
        <v>0</v>
      </c>
      <c r="L30" s="74">
        <v>0</v>
      </c>
      <c r="M30" s="77">
        <f t="shared" si="4"/>
        <v>0</v>
      </c>
      <c r="N30" s="78"/>
      <c r="O30" s="43"/>
    </row>
    <row r="31" spans="1:16" ht="15.75" customHeight="1" x14ac:dyDescent="0.25">
      <c r="B31" s="15"/>
      <c r="C31" s="52"/>
      <c r="E31" s="15"/>
      <c r="F31" s="15"/>
      <c r="G31" s="15"/>
      <c r="H31" s="15"/>
      <c r="I31" s="15"/>
      <c r="J31" s="15"/>
      <c r="K31" s="80">
        <v>0</v>
      </c>
      <c r="L31" s="15"/>
      <c r="M31" s="81">
        <f>SUM(M21:M30)</f>
        <v>5685.71</v>
      </c>
    </row>
    <row r="32" spans="1:16" ht="21" customHeight="1" x14ac:dyDescent="0.25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16"/>
    </row>
    <row r="33" spans="1:15" ht="27.75" customHeight="1" x14ac:dyDescent="0.35">
      <c r="A33" s="63" t="s">
        <v>107</v>
      </c>
      <c r="B33" s="64" t="s">
        <v>108</v>
      </c>
      <c r="C33" s="65" t="s">
        <v>109</v>
      </c>
      <c r="D33" s="83" t="s">
        <v>42</v>
      </c>
      <c r="E33" s="84"/>
      <c r="F33" s="85" t="s">
        <v>110</v>
      </c>
      <c r="G33" s="82"/>
      <c r="H33" s="82"/>
      <c r="I33" s="82"/>
      <c r="J33" s="82"/>
      <c r="K33" s="82"/>
      <c r="L33" s="82"/>
      <c r="M33" s="82"/>
      <c r="N33" s="82"/>
      <c r="O33" s="16"/>
    </row>
    <row r="34" spans="1:15" ht="21" customHeight="1" x14ac:dyDescent="0.25">
      <c r="A34" s="42" t="s">
        <v>111</v>
      </c>
      <c r="B34" s="34">
        <v>2035</v>
      </c>
      <c r="C34" s="86">
        <v>814</v>
      </c>
      <c r="D34" s="36" t="s">
        <v>112</v>
      </c>
      <c r="E34" s="87"/>
      <c r="F34" s="88">
        <v>350</v>
      </c>
      <c r="G34" s="89"/>
      <c r="H34" s="82"/>
      <c r="I34" s="82"/>
      <c r="J34" s="90"/>
      <c r="K34" s="82"/>
      <c r="L34" s="82"/>
      <c r="M34" s="82"/>
      <c r="N34" s="82"/>
      <c r="O34" s="16"/>
    </row>
    <row r="35" spans="1:15" ht="21" customHeight="1" x14ac:dyDescent="0.25">
      <c r="A35" s="33" t="s">
        <v>113</v>
      </c>
      <c r="B35" s="34">
        <v>2035</v>
      </c>
      <c r="C35" s="86">
        <v>0</v>
      </c>
      <c r="D35" s="36" t="s">
        <v>66</v>
      </c>
      <c r="E35" s="82"/>
      <c r="F35" s="88">
        <v>350</v>
      </c>
      <c r="G35" s="87"/>
      <c r="H35" s="82"/>
      <c r="I35" s="82"/>
      <c r="J35" s="90"/>
      <c r="K35" s="82"/>
      <c r="L35" s="82"/>
      <c r="M35" s="82"/>
      <c r="N35" s="82"/>
      <c r="O35" s="16"/>
    </row>
    <row r="36" spans="1:15" ht="21" customHeight="1" x14ac:dyDescent="0.25">
      <c r="A36" s="33" t="s">
        <v>114</v>
      </c>
      <c r="B36" s="34">
        <v>2035</v>
      </c>
      <c r="C36" s="86">
        <v>814</v>
      </c>
      <c r="D36" s="36" t="s">
        <v>60</v>
      </c>
      <c r="E36" s="82"/>
      <c r="F36" s="88">
        <v>350</v>
      </c>
      <c r="G36" s="82"/>
      <c r="H36" s="82"/>
      <c r="I36" s="82"/>
      <c r="J36" s="90"/>
      <c r="K36" s="82"/>
      <c r="L36" s="82"/>
      <c r="M36" s="82"/>
      <c r="N36" s="82"/>
      <c r="O36" s="16"/>
    </row>
    <row r="37" spans="1:15" ht="21" customHeight="1" x14ac:dyDescent="0.25">
      <c r="A37" s="33" t="s">
        <v>115</v>
      </c>
      <c r="B37" s="34">
        <v>2035</v>
      </c>
      <c r="C37" s="86">
        <v>814</v>
      </c>
      <c r="D37" s="36" t="s">
        <v>60</v>
      </c>
      <c r="E37" s="82"/>
      <c r="F37" s="88">
        <v>350</v>
      </c>
      <c r="G37" s="82"/>
      <c r="H37" s="82"/>
      <c r="I37" s="82"/>
      <c r="J37" s="90"/>
      <c r="K37" s="82"/>
      <c r="L37" s="82"/>
      <c r="M37" s="82"/>
      <c r="N37" s="82"/>
      <c r="O37" s="16"/>
    </row>
    <row r="38" spans="1:15" ht="21" customHeight="1" x14ac:dyDescent="0.25">
      <c r="A38" s="33" t="s">
        <v>116</v>
      </c>
      <c r="B38" s="34">
        <v>2135.56</v>
      </c>
      <c r="C38" s="86">
        <v>855</v>
      </c>
      <c r="D38" s="36" t="s">
        <v>60</v>
      </c>
      <c r="E38" s="82"/>
      <c r="F38" s="88">
        <v>350</v>
      </c>
      <c r="G38" s="82"/>
      <c r="H38" s="82"/>
      <c r="I38" s="82"/>
      <c r="J38" s="90"/>
      <c r="K38" s="82"/>
      <c r="L38" s="82"/>
      <c r="M38" s="82"/>
      <c r="N38" s="82"/>
      <c r="O38" s="16"/>
    </row>
    <row r="39" spans="1:15" ht="21" customHeight="1" x14ac:dyDescent="0.25">
      <c r="A39" s="33" t="s">
        <v>117</v>
      </c>
      <c r="B39" s="34">
        <v>2035</v>
      </c>
      <c r="C39" s="86">
        <v>814</v>
      </c>
      <c r="D39" s="36" t="s">
        <v>118</v>
      </c>
      <c r="E39" s="82"/>
      <c r="F39" s="88">
        <v>350</v>
      </c>
      <c r="G39" s="89"/>
      <c r="H39" s="82"/>
      <c r="I39" s="82"/>
      <c r="J39" s="90"/>
      <c r="K39" s="82"/>
      <c r="L39" s="82"/>
      <c r="M39" s="82"/>
      <c r="N39" s="82"/>
      <c r="O39" s="16"/>
    </row>
    <row r="40" spans="1:15" ht="21" customHeight="1" x14ac:dyDescent="0.25">
      <c r="A40" s="33" t="s">
        <v>119</v>
      </c>
      <c r="B40" s="34">
        <v>9.25</v>
      </c>
      <c r="C40" s="86">
        <v>450</v>
      </c>
      <c r="D40" s="36" t="s">
        <v>120</v>
      </c>
      <c r="E40" s="82"/>
      <c r="F40" s="88">
        <v>350</v>
      </c>
      <c r="G40" s="89"/>
      <c r="H40" s="82"/>
      <c r="I40" s="82"/>
      <c r="J40" s="90"/>
      <c r="K40" s="82"/>
      <c r="L40" s="82"/>
      <c r="M40" s="82"/>
      <c r="N40" s="82"/>
      <c r="O40" s="16"/>
    </row>
    <row r="41" spans="1:15" ht="21" customHeight="1" x14ac:dyDescent="0.25">
      <c r="A41" s="33" t="s">
        <v>121</v>
      </c>
      <c r="B41" s="34">
        <v>2246.13</v>
      </c>
      <c r="C41" s="86">
        <v>900</v>
      </c>
      <c r="D41" s="36" t="s">
        <v>122</v>
      </c>
      <c r="E41" s="82"/>
      <c r="F41" s="88">
        <v>350</v>
      </c>
      <c r="G41" s="82"/>
      <c r="H41" s="82"/>
      <c r="I41" s="82"/>
      <c r="J41" s="82"/>
      <c r="K41" s="82"/>
      <c r="L41" s="82"/>
      <c r="M41" s="82"/>
      <c r="N41" s="82"/>
      <c r="O41" s="16"/>
    </row>
    <row r="42" spans="1:15" ht="21" customHeight="1" x14ac:dyDescent="0.25">
      <c r="A42" s="33" t="s">
        <v>123</v>
      </c>
      <c r="B42" s="34">
        <v>2677.06</v>
      </c>
      <c r="C42" s="86">
        <v>1071</v>
      </c>
      <c r="D42" s="36" t="s">
        <v>124</v>
      </c>
      <c r="E42" s="82"/>
      <c r="F42" s="88">
        <v>350</v>
      </c>
      <c r="G42" s="82"/>
      <c r="H42" s="82"/>
      <c r="I42" s="82"/>
      <c r="J42" s="82"/>
      <c r="K42" s="82"/>
      <c r="L42" s="82"/>
      <c r="M42" s="82"/>
      <c r="N42" s="82"/>
      <c r="O42" s="16"/>
    </row>
    <row r="43" spans="1:15" ht="21" customHeight="1" x14ac:dyDescent="0.25">
      <c r="A43" s="33" t="s">
        <v>125</v>
      </c>
      <c r="B43" s="34">
        <v>2141.65</v>
      </c>
      <c r="C43" s="91">
        <v>857</v>
      </c>
      <c r="D43" s="36" t="s">
        <v>126</v>
      </c>
      <c r="E43" s="82"/>
      <c r="F43" s="88">
        <v>350</v>
      </c>
      <c r="G43" s="82"/>
      <c r="H43" s="82"/>
      <c r="I43" s="82"/>
      <c r="J43" s="82"/>
      <c r="K43" s="82"/>
      <c r="L43" s="82"/>
      <c r="M43" s="82"/>
      <c r="N43" s="82"/>
      <c r="O43" s="16"/>
    </row>
    <row r="44" spans="1:15" ht="21" customHeight="1" x14ac:dyDescent="0.25">
      <c r="A44" s="82"/>
      <c r="B44" s="82"/>
      <c r="C44" s="92">
        <f>SUM(C34:C43)</f>
        <v>7389</v>
      </c>
      <c r="D44" s="82"/>
      <c r="E44" s="82"/>
      <c r="F44" s="93">
        <f>SUM(F34:F43)</f>
        <v>3500</v>
      </c>
      <c r="G44" s="82"/>
      <c r="H44" s="82"/>
      <c r="I44" s="82"/>
      <c r="J44" s="82"/>
      <c r="K44" s="82"/>
      <c r="L44" s="82"/>
      <c r="M44" s="82"/>
      <c r="N44" s="82"/>
      <c r="O44" s="16"/>
    </row>
    <row r="45" spans="1:15" ht="21" customHeight="1" x14ac:dyDescent="0.25">
      <c r="A45" s="94"/>
      <c r="B45" s="94"/>
      <c r="C45" s="94"/>
      <c r="D45" s="94"/>
      <c r="E45" s="94"/>
      <c r="F45" s="94"/>
      <c r="G45" s="94"/>
      <c r="H45" s="94"/>
      <c r="I45" s="94"/>
      <c r="J45" s="95" t="s">
        <v>127</v>
      </c>
      <c r="K45" s="96"/>
      <c r="L45" s="97"/>
      <c r="M45" s="98">
        <f>C44+M31+N13</f>
        <v>19803.129999999997</v>
      </c>
      <c r="N45" s="99"/>
    </row>
    <row r="46" spans="1:15" s="32" customFormat="1" ht="21" customHeight="1" x14ac:dyDescent="0.25">
      <c r="A46" s="100"/>
      <c r="B46" s="100"/>
      <c r="C46" s="100"/>
      <c r="D46" s="100"/>
      <c r="E46" s="100"/>
      <c r="F46" s="100"/>
      <c r="G46" s="101"/>
      <c r="H46" s="100"/>
      <c r="I46" s="100"/>
      <c r="J46" s="102"/>
      <c r="K46" s="102"/>
      <c r="L46" s="102"/>
      <c r="M46" s="103"/>
      <c r="N46" s="104"/>
    </row>
    <row r="47" spans="1:15" s="32" customFormat="1" ht="21" customHeight="1" x14ac:dyDescent="0.25">
      <c r="A47" s="100"/>
      <c r="B47" s="100"/>
      <c r="C47" s="100"/>
      <c r="D47" s="100"/>
      <c r="E47" s="100"/>
      <c r="F47" s="100"/>
      <c r="G47" s="100"/>
      <c r="H47" s="100"/>
      <c r="I47" s="100"/>
      <c r="J47" s="102"/>
      <c r="K47" s="102"/>
      <c r="L47" s="102"/>
      <c r="M47" s="103"/>
      <c r="N47" s="104"/>
    </row>
    <row r="48" spans="1:15" ht="15.75" customHeight="1" x14ac:dyDescent="0.25">
      <c r="B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/>
    </row>
    <row r="49" spans="2:15" ht="15.75" customHeight="1" x14ac:dyDescent="0.25">
      <c r="B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6"/>
    </row>
    <row r="50" spans="2:15" ht="15.75" customHeight="1" x14ac:dyDescent="0.25">
      <c r="B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6"/>
    </row>
    <row r="51" spans="2:15" ht="15.75" customHeight="1" x14ac:dyDescent="0.25">
      <c r="B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6"/>
    </row>
    <row r="52" spans="2:15" ht="15.75" customHeight="1" x14ac:dyDescent="0.25">
      <c r="B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/>
    </row>
  </sheetData>
  <mergeCells count="1">
    <mergeCell ref="J45:K4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2026-05-19T12:01:59Z</dcterms:created>
  <dcterms:modified xsi:type="dcterms:W3CDTF">2026-05-19T12:17:35Z</dcterms:modified>
</cp:coreProperties>
</file>